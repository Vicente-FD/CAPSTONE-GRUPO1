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Capstone_2H_25\Capstone_003\"/>
    </mc:Choice>
  </mc:AlternateContent>
  <xr:revisionPtr revIDLastSave="0" documentId="13_ncr:1_{7D164912-3938-4A96-B252-E3D7A20C9D3D}"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G55" i="1"/>
  <c r="E55" i="1"/>
  <c r="J54" i="1"/>
  <c r="K54" i="1" s="1"/>
  <c r="H54" i="1"/>
  <c r="I54" i="1" s="1"/>
  <c r="F54" i="1"/>
  <c r="G54" i="1" s="1"/>
  <c r="D54" i="1"/>
  <c r="E54" i="1" s="1"/>
  <c r="J45" i="1"/>
  <c r="K45" i="1" s="1"/>
  <c r="H45" i="1"/>
  <c r="I45" i="1" s="1"/>
  <c r="F45" i="1"/>
  <c r="G45" i="1" s="1"/>
  <c r="D45" i="1"/>
  <c r="E45" i="1" s="1"/>
  <c r="J44" i="1"/>
  <c r="K44" i="1" s="1"/>
  <c r="H44" i="1"/>
  <c r="I44" i="1" s="1"/>
  <c r="G44" i="1"/>
  <c r="E44" i="1"/>
  <c r="J43" i="1"/>
  <c r="K43" i="1" s="1"/>
  <c r="H43" i="1"/>
  <c r="I43" i="1" s="1"/>
  <c r="F43" i="1"/>
  <c r="G43" i="1" s="1"/>
  <c r="D43" i="1"/>
  <c r="E43" i="1" s="1"/>
  <c r="D19" i="1"/>
  <c r="E19" i="1" s="1"/>
  <c r="F19" i="1"/>
  <c r="G19" i="1" s="1"/>
  <c r="H19" i="1"/>
  <c r="I19" i="1" s="1"/>
  <c r="J19" i="1"/>
  <c r="K19" i="1" s="1"/>
  <c r="E17" i="1"/>
  <c r="G17" i="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E16" i="1"/>
  <c r="E18" i="1"/>
  <c r="E22" i="1"/>
  <c r="F20" i="1"/>
  <c r="G20" i="1" s="1"/>
  <c r="F21" i="1"/>
  <c r="G21" i="1" s="1"/>
  <c r="C57" i="1" l="1"/>
  <c r="C46" i="1"/>
  <c r="D21" i="1"/>
  <c r="E21" i="1" s="1"/>
  <c r="H21" i="1"/>
  <c r="I21" i="1" s="1"/>
  <c r="J21" i="1"/>
  <c r="K21" i="1" s="1"/>
  <c r="G22" i="1"/>
  <c r="H22" i="1"/>
  <c r="I22" i="1" s="1"/>
  <c r="J22" i="1"/>
  <c r="K22" i="1" s="1"/>
  <c r="C27" i="1"/>
  <c r="J20" i="1"/>
  <c r="K20" i="1" s="1"/>
  <c r="H20" i="1"/>
  <c r="I20" i="1" s="1"/>
  <c r="D20" i="1"/>
  <c r="E20" i="1" s="1"/>
  <c r="J18" i="1"/>
  <c r="K18" i="1" s="1"/>
  <c r="H18" i="1"/>
  <c r="I18" i="1" s="1"/>
  <c r="G18" i="1"/>
  <c r="J16" i="1"/>
  <c r="K16" i="1" s="1"/>
  <c r="H16" i="1"/>
  <c r="I16" i="1" s="1"/>
  <c r="G16" i="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<sst xmlns="http://schemas.openxmlformats.org/spreadsheetml/2006/main" count="164" uniqueCount="99">
  <si>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</si>
  <si>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</si>
  <si>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</si>
  <si>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</si>
  <si>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</si>
  <si>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</si>
  <si>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</si>
  <si>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</si>
  <si>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</si>
  <si>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</si>
  <si>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</si>
  <si>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</si>
  <si>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</si>
  <si>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</si>
  <si>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</si>
  <si>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</si>
  <si>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</si>
  <si>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</si>
  <si>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</si>
  <si>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</si>
  <si>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</si>
  <si>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</si>
  <si>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</si>
  <si>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</si>
  <si>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</si>
  <si>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</si>
  <si>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</si>
  <si>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</si>
  <si>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</si>
  <si>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</si>
  <si>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</si>
  <si>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</si>
  <si>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</si>
  <si>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</si>
  <si>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</si>
  <si>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</si>
  <si>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</si>
  <si>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</si>
  <si>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</si>
  <si>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</si>
  <si>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</si>
  <si>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</si>
  <si>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</si>
  <si>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</si>
  <si>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</si>
  <si>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</si>
  <si>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</si>
  <si>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</si>
  <si>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</si>
  <si>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</si>
  <si>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</si>
  <si>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</si>
  <si>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</si>
  <si>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</si>
  <si>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</si>
  <si>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</si>
  <si>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</si>
  <si>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</si>
  <si>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</si>
  <si>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</si>
  <si>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</si>
  <si>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</si>
  <si>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</si>
  <si>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</si>
  <si>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</si>
  <si>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</si>
  <si>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</si>
  <si>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</si>
  <si>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</si>
  <si>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</si>
  <si>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</si>
  <si>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</si>
  <si>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</si>
  <si>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</si>
  <si>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</si>
  <si>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</si>
  <si>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</si>
  <si>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</si>
  <si>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</si>
  <si>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</si>
  <si>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</si>
  <si>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</si>
  <si>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</si>
  <si>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</si>
  <si>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</si>
  <si>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</si>
  <si>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</si>
  <si>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</si>
  <si>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</si>
  <si>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</si>
  <si>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</si>
  <si>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</si>
  <si>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</si>
  <si>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</si>
  <si>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</si>
  <si>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 xml:space="preserve">Vicente Fernandez </t>
  </si>
  <si>
    <t xml:space="preserve">Samanta Navarro </t>
  </si>
  <si>
    <t xml:space="preserve">Amaro Veas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</si>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</sst>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applyAlignment="1"/>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applyAlignment="1"/>
    <xf numFmtId="0" fontId="2" fillId="0" borderId="14" xfId="0" applyFont="1" applyBorder="1" applyAlignment="1"/>
    <xf numFmtId="0" fontId="0" fillId="7" borderId="2" xfId="0" applyFill="1" applyBorder="1" applyAlignment="1">
      <alignment horizontal="center" vertical="center" textRotation="255"/>
    </xf>
    <xf numFmtId="0" fontId="2" fillId="0" borderId="15"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applyAlignment="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F36" sqref="F36"/>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5.5</v>
      </c>
      <c r="D4" s="6">
        <f>$C$35</f>
        <v>6</v>
      </c>
      <c r="E4" s="43">
        <f>C4*C$2+D4*D$2</f>
        <v>5.625</v>
      </c>
      <c r="G4" s="1"/>
    </row>
    <row r="5" spans="1:11" x14ac:dyDescent="0.25">
      <c r="A5" s="5">
        <v>2</v>
      </c>
      <c r="B5" s="32" t="s">
        <v>96</v>
      </c>
      <c r="C5" s="6">
        <f>EVALUACION1!$C$24</f>
        <v>5.5</v>
      </c>
      <c r="D5" s="6">
        <f>C47</f>
        <v>6</v>
      </c>
      <c r="E5" s="43">
        <f t="shared" ref="E5:E6" si="0">C5*C$2+D5*D$2</f>
        <v>5.625</v>
      </c>
      <c r="G5" s="1"/>
    </row>
    <row r="6" spans="1:11" x14ac:dyDescent="0.25">
      <c r="A6" s="5">
        <v>3</v>
      </c>
      <c r="B6" s="32" t="s">
        <v>97</v>
      </c>
      <c r="C6" s="6">
        <f>EVALUACION1!$C$24</f>
        <v>5.5</v>
      </c>
      <c r="D6" s="6">
        <f>C58</f>
        <v>6</v>
      </c>
      <c r="E6" s="43">
        <f t="shared" si="0"/>
        <v>5.625</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5" si="1">IF($C13=CL,"X","")</f>
        <v>X</v>
      </c>
      <c r="E13" s="16">
        <f>IF(D13="X",100*0.1,"")</f>
        <v>10</v>
      </c>
      <c r="F13" s="16" t="str">
        <f t="shared" ref="F13:F15"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c r="E16" s="16" t="str">
        <f>IF(D16="X",100*0.05,"")</f>
        <v/>
      </c>
      <c r="F16" s="16" t="s">
        <v>98</v>
      </c>
      <c r="G16" s="16">
        <f>IF(F16="X",60*0.05,"")</f>
        <v>3</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c r="E17" s="16" t="str">
        <f t="shared" ref="E17" si="12">IF(D17="X",100*0.1,"")</f>
        <v/>
      </c>
      <c r="F17" s="16" t="s">
        <v>98</v>
      </c>
      <c r="G17" s="16">
        <f t="shared" ref="G17" si="13">IF(F17="X",60*0.1,"")</f>
        <v>6</v>
      </c>
      <c r="H17" s="16" t="str">
        <f t="shared" ref="H17:H22" si="14">IF($C17=ML,"X","")</f>
        <v/>
      </c>
      <c r="I17" s="16" t="str">
        <f t="shared" ref="I17" si="15">IF(H17="X",30*0.1,"")</f>
        <v/>
      </c>
      <c r="J17" s="16" t="str">
        <f t="shared" ref="J17:J22" si="16">IF($C17=NL,"X","")</f>
        <v/>
      </c>
      <c r="K17" s="16" t="str">
        <f t="shared" ref="K17:K22" si="17">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c r="E18" s="16" t="str">
        <f t="shared" ref="E18" si="18">IF(D18="X",100*0.1,"")</f>
        <v/>
      </c>
      <c r="F18" s="16" t="s">
        <v>98</v>
      </c>
      <c r="G18" s="16">
        <f t="shared" ref="G18" si="19">IF(F18="X",60*0.1,"")</f>
        <v>6</v>
      </c>
      <c r="H18" s="16" t="str">
        <f t="shared" si="14"/>
        <v/>
      </c>
      <c r="I18" s="16" t="str">
        <f t="shared" ref="I18" si="20">IF(H18="X",30*0.1,"")</f>
        <v/>
      </c>
      <c r="J18" s="16" t="str">
        <f t="shared" si="16"/>
        <v/>
      </c>
      <c r="K18" s="16" t="str">
        <f t="shared" si="17"/>
        <v/>
      </c>
    </row>
    <row r="19" spans="1:11" ht="24" outlineLevel="1" x14ac:dyDescent="0.25">
      <c r="A19" s="65"/>
      <c r="B19" s="35" t="str">
        <f>RUBRICA!A12</f>
        <v>8. Determina evidencias, justificando cómo estas dan cuenta del logro de las actividades del Proyecto APT.</v>
      </c>
      <c r="C19" s="33" t="s">
        <v>7</v>
      </c>
      <c r="D19" s="16" t="str">
        <f t="shared" ref="D19:D21" si="21">IF($C19=CL,"X","")</f>
        <v>X</v>
      </c>
      <c r="E19" s="16">
        <f>IF(D19="X",100*0.05,"")</f>
        <v>5</v>
      </c>
      <c r="F19" s="16" t="str">
        <f t="shared" ref="F19:F21" si="22">IF($C19=L,"X","")</f>
        <v/>
      </c>
      <c r="G19" s="16" t="str">
        <f t="shared" ref="G19" si="23">IF(F19="X",60*0.05,"")</f>
        <v/>
      </c>
      <c r="H19" s="16" t="str">
        <f t="shared" si="14"/>
        <v/>
      </c>
      <c r="I19" s="16" t="str">
        <f t="shared" ref="I19" si="24">IF(H19="X",30*0.05,"")</f>
        <v/>
      </c>
      <c r="J19" s="16" t="str">
        <f t="shared" si="16"/>
        <v/>
      </c>
      <c r="K19" s="16" t="str">
        <f t="shared" si="17"/>
        <v/>
      </c>
    </row>
    <row r="20" spans="1:11" ht="24" outlineLevel="1" x14ac:dyDescent="0.25">
      <c r="A20" s="65"/>
      <c r="B20" s="35" t="str">
        <f>RUBRICA!A13</f>
        <v xml:space="preserve">9. Utiliza reglas de redacción, ortografía (literal, puntual, acentual) y las normas para citas y referencias. </v>
      </c>
      <c r="C20" s="33" t="s">
        <v>7</v>
      </c>
      <c r="D20" s="16" t="str">
        <f t="shared" si="21"/>
        <v>X</v>
      </c>
      <c r="E20" s="16">
        <f>IF(D20="X",100*0.05,"")</f>
        <v>5</v>
      </c>
      <c r="F20" s="16" t="str">
        <f t="shared" si="22"/>
        <v/>
      </c>
      <c r="G20" s="16" t="str">
        <f t="shared" si="10"/>
        <v/>
      </c>
      <c r="H20" s="16" t="str">
        <f t="shared" si="14"/>
        <v/>
      </c>
      <c r="I20" s="16" t="str">
        <f t="shared" si="11"/>
        <v/>
      </c>
      <c r="J20" s="16" t="str">
        <f t="shared" si="16"/>
        <v/>
      </c>
      <c r="K20" s="16" t="str">
        <f t="shared" si="17"/>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21"/>
        <v>X</v>
      </c>
      <c r="E21" s="16">
        <f t="shared" si="9"/>
        <v>5</v>
      </c>
      <c r="F21" s="16" t="str">
        <f t="shared" si="22"/>
        <v/>
      </c>
      <c r="G21" s="16" t="str">
        <f t="shared" si="10"/>
        <v/>
      </c>
      <c r="H21" s="16" t="str">
        <f t="shared" si="14"/>
        <v/>
      </c>
      <c r="I21" s="16" t="str">
        <f t="shared" si="11"/>
        <v/>
      </c>
      <c r="J21" s="16" t="str">
        <f t="shared" si="16"/>
        <v/>
      </c>
      <c r="K21" s="16" t="str">
        <f t="shared" si="17"/>
        <v/>
      </c>
    </row>
    <row r="22" spans="1:11" ht="36" outlineLevel="1" x14ac:dyDescent="0.25">
      <c r="A22" s="65"/>
      <c r="B22" s="35" t="str">
        <f>RUBRICA!A16</f>
        <v>12. Desarrolla un plan de trabajo que permita del logro de los objetivos propuestos del proyecto de 
acuerdo a los tiempos para su desarrollo</v>
      </c>
      <c r="C22" s="33" t="s">
        <v>7</v>
      </c>
      <c r="D22" s="16"/>
      <c r="E22" s="16" t="str">
        <f>IF(D22="X",100*0.1,"")</f>
        <v/>
      </c>
      <c r="F22" s="16" t="s">
        <v>98</v>
      </c>
      <c r="G22" s="16">
        <f>IF(F22="X",60*0.1,"")</f>
        <v>6</v>
      </c>
      <c r="H22" s="16" t="str">
        <f t="shared" si="14"/>
        <v/>
      </c>
      <c r="I22" s="16" t="str">
        <f>IF(H22="X",30*0.1,"")</f>
        <v/>
      </c>
      <c r="J22" s="16" t="str">
        <f t="shared" si="16"/>
        <v/>
      </c>
      <c r="K22" s="16" t="str">
        <f t="shared" si="17"/>
        <v/>
      </c>
    </row>
    <row r="23" spans="1:11" ht="15.75" customHeight="1" outlineLevel="1" x14ac:dyDescent="0.3">
      <c r="A23" s="62"/>
      <c r="B23" s="34" t="s">
        <v>11</v>
      </c>
      <c r="C23" s="37">
        <f>E23+G23+I23+K23</f>
        <v>56</v>
      </c>
      <c r="D23" s="19"/>
      <c r="E23" s="19">
        <f>SUM(E13:E22)</f>
        <v>35</v>
      </c>
      <c r="F23" s="19"/>
      <c r="G23" s="19">
        <f>SUM(G13:G22)</f>
        <v>21</v>
      </c>
      <c r="H23" s="19"/>
      <c r="I23" s="19">
        <f>SUM(I13:I22)</f>
        <v>0</v>
      </c>
      <c r="J23" s="19"/>
      <c r="K23" s="19">
        <f>SUM(K13:K22)</f>
        <v>0</v>
      </c>
    </row>
    <row r="24" spans="1:11" ht="15.75" customHeight="1" outlineLevel="1" x14ac:dyDescent="0.3">
      <c r="A24" s="50"/>
      <c r="B24" s="36" t="s">
        <v>12</v>
      </c>
      <c r="C24" s="20">
        <f>VLOOKUP(C23,ESCALA_IEP!A2:B142,2,FALSE)</f>
        <v>5.5</v>
      </c>
    </row>
    <row r="25" spans="1:11" ht="15.75" customHeight="1" x14ac:dyDescent="0.25"/>
    <row r="26" spans="1:11" ht="15.75" customHeight="1" x14ac:dyDescent="0.25"/>
    <row r="27" spans="1:11" ht="15.75" customHeight="1" x14ac:dyDescent="0.25">
      <c r="A27" s="61" t="s">
        <v>13</v>
      </c>
      <c r="B27" s="49" t="s">
        <v>14</v>
      </c>
      <c r="C27" s="51" t="str">
        <f>$B$4</f>
        <v xml:space="preserve">Vicente Fernandez </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c r="E32" s="16" t="str">
        <f>IF(D32="X",100*0.1,"")</f>
        <v/>
      </c>
      <c r="F32" s="16" t="s">
        <v>98</v>
      </c>
      <c r="G32" s="16">
        <f>IF(F32="X",60*0.1,"")</f>
        <v>6</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3">
      <c r="A35" s="50"/>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 xml:space="preserve">Samanta Navarro </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c r="E44" s="16" t="str">
        <f>IF(D44="X",100*0.1,"")</f>
        <v/>
      </c>
      <c r="F44" s="16" t="s">
        <v>98</v>
      </c>
      <c r="G44" s="16">
        <f>IF(F44="X",60*0.1,"")</f>
        <v>6</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3">
      <c r="A47" s="50"/>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1" t="s">
        <v>13</v>
      </c>
      <c r="B50" s="49" t="s">
        <v>14</v>
      </c>
      <c r="C50" s="51" t="str">
        <f>B6</f>
        <v xml:space="preserve">Amaro Veas </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c r="E55" s="16" t="str">
        <f>IF(D55="X",100*0.1,"")</f>
        <v/>
      </c>
      <c r="F55" s="16" t="s">
        <v>98</v>
      </c>
      <c r="G55" s="16">
        <f>IF(F55="X",60*0.1,"")</f>
        <v>6</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26</v>
      </c>
      <c r="D57" s="19">
        <f>COUNTIF(D55:D56,"X")</f>
        <v>1</v>
      </c>
      <c r="E57" s="19">
        <f>SUM(E54:E56)</f>
        <v>20</v>
      </c>
      <c r="F57" s="19">
        <f t="shared" ref="F57" si="44">SUM(F54:F56)</f>
        <v>0</v>
      </c>
      <c r="G57" s="19">
        <f t="shared" ref="G57" si="45">SUM(G54:G56)</f>
        <v>6</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6</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Cetecom</cp:lastModifiedBy>
  <cp:revision/>
  <dcterms:created xsi:type="dcterms:W3CDTF">2023-08-07T04:08:01Z</dcterms:created>
  <dcterms:modified xsi:type="dcterms:W3CDTF">2025-09-25T18:53:26Z</dcterms:modified>
  <cp:category/>
  <cp:contentStatus/>
</cp:coreProperties>
</file>